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orte\Desktop\"/>
    </mc:Choice>
  </mc:AlternateContent>
  <xr:revisionPtr revIDLastSave="0" documentId="13_ncr:1_{59E4A91C-F094-43CF-8371-8BA18A6EAE9F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Table" sheetId="3" r:id="rId1"/>
    <sheet name="Table1" sheetId="4" r:id="rId2"/>
    <sheet name="Table2" sheetId="5" r:id="rId3"/>
    <sheet name="Table3" sheetId="6" r:id="rId4"/>
    <sheet name="Remise" sheetId="7" r:id="rId5"/>
    <sheet name="Graphs" sheetId="8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8" l="1"/>
  <c r="E7" i="8"/>
  <c r="E8" i="8"/>
  <c r="E9" i="8"/>
  <c r="E10" i="8"/>
  <c r="E11" i="8"/>
  <c r="E12" i="8"/>
  <c r="E13" i="8"/>
  <c r="E14" i="8"/>
  <c r="E15" i="8"/>
  <c r="G4" i="7"/>
  <c r="H4" i="7"/>
  <c r="I4" i="7" s="1"/>
  <c r="J4" i="7" s="1"/>
  <c r="G5" i="7"/>
  <c r="I5" i="7" s="1"/>
  <c r="H5" i="7"/>
  <c r="G6" i="7"/>
  <c r="H6" i="7"/>
  <c r="I6" i="7"/>
  <c r="J6" i="7"/>
  <c r="G7" i="7"/>
  <c r="H7" i="7"/>
  <c r="I7" i="7" s="1"/>
  <c r="J7" i="7" s="1"/>
  <c r="G8" i="7"/>
  <c r="H8" i="7"/>
  <c r="I8" i="7"/>
  <c r="J8" i="7"/>
  <c r="G9" i="7"/>
  <c r="H9" i="7"/>
  <c r="I9" i="7" s="1"/>
  <c r="J9" i="7" s="1"/>
  <c r="G10" i="7"/>
  <c r="H10" i="7"/>
  <c r="I10" i="7" s="1"/>
  <c r="J10" i="7" s="1"/>
  <c r="G11" i="7"/>
  <c r="H11" i="7"/>
  <c r="I11" i="7" s="1"/>
  <c r="J11" i="7" s="1"/>
  <c r="G12" i="7"/>
  <c r="H12" i="7"/>
  <c r="I12" i="7" s="1"/>
  <c r="J12" i="7" s="1"/>
  <c r="G13" i="7"/>
  <c r="H13" i="7"/>
  <c r="I13" i="7" s="1"/>
  <c r="J13" i="7" s="1"/>
  <c r="G14" i="7"/>
  <c r="H14" i="7"/>
  <c r="I14" i="7" s="1"/>
  <c r="J14" i="7" s="1"/>
  <c r="G15" i="7"/>
  <c r="H15" i="7"/>
  <c r="I15" i="7" s="1"/>
  <c r="J15" i="7" s="1"/>
  <c r="G16" i="7"/>
  <c r="H16" i="7"/>
  <c r="I16" i="7" s="1"/>
  <c r="J16" i="7" s="1"/>
  <c r="G17" i="7"/>
  <c r="H17" i="7"/>
  <c r="I17" i="7" s="1"/>
  <c r="J17" i="7" s="1"/>
  <c r="J5" i="7" l="1"/>
  <c r="J19" i="7" s="1"/>
  <c r="J21" i="7" l="1"/>
  <c r="J22" i="7"/>
</calcChain>
</file>

<file path=xl/sharedStrings.xml><?xml version="1.0" encoding="utf-8"?>
<sst xmlns="http://schemas.openxmlformats.org/spreadsheetml/2006/main" count="137" uniqueCount="37">
  <si>
    <t>Yale</t>
  </si>
  <si>
    <t>Economics</t>
  </si>
  <si>
    <t>Brown</t>
  </si>
  <si>
    <t>Psychology</t>
  </si>
  <si>
    <t>Cornell</t>
  </si>
  <si>
    <t>Mathematics</t>
  </si>
  <si>
    <t>Harvard</t>
  </si>
  <si>
    <t>Penn State</t>
  </si>
  <si>
    <t>Arts</t>
  </si>
  <si>
    <t>Physics</t>
  </si>
  <si>
    <t>Princeton</t>
  </si>
  <si>
    <t>Columbia</t>
  </si>
  <si>
    <t>Dartmouth</t>
  </si>
  <si>
    <t>University</t>
  </si>
  <si>
    <t>Faculty</t>
  </si>
  <si>
    <r>
      <rPr>
        <b/>
        <sz val="11"/>
        <color rgb="FFFFFFFF"/>
        <rFont val="Calibri"/>
        <family val="1"/>
      </rPr>
      <t>Students</t>
    </r>
  </si>
  <si>
    <r>
      <rPr>
        <b/>
        <sz val="20"/>
        <color rgb="FFFFFFFF"/>
        <rFont val="Calibri"/>
        <family val="1"/>
      </rPr>
      <t>Ivy League Applicants</t>
    </r>
  </si>
  <si>
    <t>Grand Total</t>
  </si>
  <si>
    <t>Average of Students</t>
  </si>
  <si>
    <t>Sum of Students</t>
  </si>
  <si>
    <t>Row Labels</t>
  </si>
  <si>
    <t>Average of Students2</t>
  </si>
  <si>
    <t>Column Labels</t>
  </si>
  <si>
    <t>TTC:</t>
  </si>
  <si>
    <t>Val TVA:</t>
  </si>
  <si>
    <t>TVA:</t>
  </si>
  <si>
    <t>Total facture:</t>
  </si>
  <si>
    <r>
      <rPr>
        <b/>
        <sz val="11"/>
        <rFont val="Palatino Linotype"/>
        <family val="1"/>
      </rPr>
      <t>Total a payer</t>
    </r>
  </si>
  <si>
    <r>
      <rPr>
        <b/>
        <sz val="11"/>
        <rFont val="Palatino Linotype"/>
        <family val="1"/>
      </rPr>
      <t>Val Remise</t>
    </r>
  </si>
  <si>
    <t>Remise</t>
  </si>
  <si>
    <r>
      <rPr>
        <b/>
        <sz val="11"/>
        <rFont val="Palatino Linotype"/>
        <family val="1"/>
      </rPr>
      <t>PT</t>
    </r>
  </si>
  <si>
    <r>
      <rPr>
        <b/>
        <sz val="11"/>
        <rFont val="Palatino Linotype"/>
        <family val="1"/>
      </rPr>
      <t>QTE</t>
    </r>
  </si>
  <si>
    <r>
      <rPr>
        <b/>
        <sz val="11"/>
        <rFont val="Palatino Linotype"/>
        <family val="1"/>
      </rPr>
      <t>PU</t>
    </r>
  </si>
  <si>
    <r>
      <rPr>
        <b/>
        <sz val="11"/>
        <rFont val="Palatino Linotype"/>
        <family val="1"/>
      </rPr>
      <t>ID</t>
    </r>
  </si>
  <si>
    <r>
      <rPr>
        <b/>
        <sz val="12"/>
        <rFont val="Palatino Linotype"/>
        <family val="1"/>
      </rPr>
      <t>Speed (m/s)</t>
    </r>
  </si>
  <si>
    <r>
      <rPr>
        <b/>
        <sz val="12"/>
        <rFont val="Palatino Linotype"/>
        <family val="1"/>
      </rPr>
      <t>Distance (m)</t>
    </r>
  </si>
  <si>
    <t>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</si>
</sst>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[$DZD]\ * #,##0.00_);_([$DZD]\ * \(#,##0.00\);_([$DZD]\ 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1"/>
    </font>
    <font>
      <b/>
      <sz val="11"/>
      <name val="Calibri"/>
      <family val="2"/>
    </font>
    <font>
      <b/>
      <sz val="20"/>
      <name val="Calibri"/>
      <family val="2"/>
    </font>
    <font>
      <b/>
      <sz val="20"/>
      <color rgb="FFFFFFFF"/>
      <name val="Calibri"/>
      <family val="1"/>
    </font>
    <font>
      <b/>
      <sz val="14"/>
      <color theme="8"/>
      <name val="Cambria"/>
      <family val="1"/>
    </font>
    <font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1"/>
      <color rgb="FF000000"/>
      <name val="Cambria"/>
      <family val="2"/>
    </font>
    <font>
      <sz val="11"/>
      <name val="Cambria"/>
      <family val="1"/>
    </font>
    <font>
      <b/>
      <sz val="11"/>
      <name val="Palatino Linotype"/>
      <family val="1"/>
    </font>
    <font>
      <sz val="12"/>
      <color rgb="FF000000"/>
      <name val="Cambria"/>
      <family val="2"/>
    </font>
    <font>
      <b/>
      <sz val="12"/>
      <name val="Palatino Linotype"/>
      <family val="1"/>
    </font>
  </fonts>
  <fills count="8">
    <fill>
      <patternFill patternType="none"/>
    </fill>
    <fill>
      <patternFill patternType="gray125"/>
    </fill>
    <fill>
      <patternFill patternType="solid">
        <fgColor rgb="FFE1EEDA"/>
      </patternFill>
    </fill>
    <fill>
      <patternFill patternType="solid">
        <fgColor rgb="FFC5DFB4"/>
      </patternFill>
    </fill>
    <fill>
      <patternFill patternType="solid">
        <fgColor rgb="FF6FAC46"/>
      </patternFill>
    </fill>
    <fill>
      <patternFill patternType="solid">
        <fgColor rgb="FFDDEBF7"/>
      </patternFill>
    </fill>
    <fill>
      <patternFill patternType="solid">
        <fgColor rgb="FF8EA9DB"/>
      </patternFill>
    </fill>
    <fill>
      <patternFill patternType="solid">
        <fgColor rgb="FFD9E0F1"/>
      </patternFill>
    </fill>
  </fills>
  <borders count="14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0" xfId="0" applyFont="1" applyFill="1" applyAlignment="1">
      <alignment horizontal="center" vertical="top" wrapText="1"/>
    </xf>
    <xf numFmtId="1" fontId="3" fillId="2" borderId="0" xfId="0" applyNumberFormat="1" applyFont="1" applyFill="1" applyAlignment="1">
      <alignment horizontal="center" vertical="top" shrinkToFit="1"/>
    </xf>
    <xf numFmtId="0" fontId="2" fillId="3" borderId="0" xfId="0" applyFont="1" applyFill="1" applyAlignment="1">
      <alignment horizontal="center" vertical="top" wrapText="1"/>
    </xf>
    <xf numFmtId="1" fontId="3" fillId="3" borderId="0" xfId="0" applyNumberFormat="1" applyFont="1" applyFill="1" applyAlignment="1">
      <alignment horizontal="center" vertical="top" shrinkToFit="1"/>
    </xf>
    <xf numFmtId="0" fontId="2" fillId="2" borderId="1" xfId="0" applyFont="1" applyFill="1" applyBorder="1" applyAlignment="1">
      <alignment horizontal="center" vertical="top" wrapText="1"/>
    </xf>
    <xf numFmtId="1" fontId="3" fillId="2" borderId="2" xfId="0" applyNumberFormat="1" applyFont="1" applyFill="1" applyBorder="1" applyAlignment="1">
      <alignment horizontal="center" vertical="top" shrinkToFit="1"/>
    </xf>
    <xf numFmtId="0" fontId="2" fillId="3" borderId="3" xfId="0" applyFont="1" applyFill="1" applyBorder="1" applyAlignment="1">
      <alignment horizontal="center" vertical="top" wrapText="1"/>
    </xf>
    <xf numFmtId="1" fontId="3" fillId="3" borderId="4" xfId="0" applyNumberFormat="1" applyFont="1" applyFill="1" applyBorder="1" applyAlignment="1">
      <alignment horizontal="center" vertical="top" shrinkToFit="1"/>
    </xf>
    <xf numFmtId="0" fontId="2" fillId="2" borderId="3" xfId="0" applyFont="1" applyFill="1" applyBorder="1" applyAlignment="1">
      <alignment horizontal="center" vertical="top" wrapText="1"/>
    </xf>
    <xf numFmtId="1" fontId="3" fillId="2" borderId="4" xfId="0" applyNumberFormat="1" applyFont="1" applyFill="1" applyBorder="1" applyAlignment="1">
      <alignment horizontal="center" vertical="top" shrinkToFit="1"/>
    </xf>
    <xf numFmtId="0" fontId="4" fillId="4" borderId="3" xfId="0" applyFont="1" applyFill="1" applyBorder="1" applyAlignment="1">
      <alignment horizontal="center" vertical="top" wrapText="1"/>
    </xf>
    <xf numFmtId="0" fontId="5" fillId="4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pivotButton="1"/>
    <xf numFmtId="164" fontId="8" fillId="5" borderId="6" xfId="0" applyNumberFormat="1" applyFont="1" applyFill="1" applyBorder="1" applyAlignment="1">
      <alignment horizontal="right" vertical="top" shrinkToFit="1"/>
    </xf>
    <xf numFmtId="164" fontId="9" fillId="0" borderId="9" xfId="0" applyNumberFormat="1" applyFont="1" applyBorder="1"/>
    <xf numFmtId="9" fontId="10" fillId="0" borderId="9" xfId="0" applyNumberFormat="1" applyFont="1" applyBorder="1"/>
    <xf numFmtId="0" fontId="0" fillId="0" borderId="0" xfId="0" applyAlignment="1">
      <alignment horizontal="center" vertical="top" wrapText="1"/>
    </xf>
    <xf numFmtId="164" fontId="11" fillId="5" borderId="6" xfId="1" applyNumberFormat="1" applyFont="1" applyFill="1" applyBorder="1" applyAlignment="1">
      <alignment horizontal="right" vertical="top" shrinkToFit="1"/>
    </xf>
    <xf numFmtId="9" fontId="11" fillId="5" borderId="6" xfId="0" applyNumberFormat="1" applyFont="1" applyFill="1" applyBorder="1" applyAlignment="1">
      <alignment horizontal="center" vertical="top" shrinkToFit="1"/>
    </xf>
    <xf numFmtId="1" fontId="11" fillId="5" borderId="6" xfId="0" applyNumberFormat="1" applyFont="1" applyFill="1" applyBorder="1" applyAlignment="1">
      <alignment horizontal="right" vertical="top" shrinkToFit="1"/>
    </xf>
    <xf numFmtId="164" fontId="12" fillId="5" borderId="6" xfId="1" applyNumberFormat="1" applyFont="1" applyFill="1" applyBorder="1" applyAlignment="1">
      <alignment horizontal="left" wrapText="1" indent="3"/>
    </xf>
    <xf numFmtId="1" fontId="11" fillId="5" borderId="6" xfId="0" applyNumberFormat="1" applyFont="1" applyFill="1" applyBorder="1" applyAlignment="1">
      <alignment horizontal="center" vertical="top" shrinkToFit="1"/>
    </xf>
    <xf numFmtId="164" fontId="11" fillId="0" borderId="10" xfId="1" applyNumberFormat="1" applyFont="1" applyBorder="1" applyAlignment="1">
      <alignment horizontal="right" vertical="top" shrinkToFit="1"/>
    </xf>
    <xf numFmtId="9" fontId="11" fillId="0" borderId="10" xfId="0" applyNumberFormat="1" applyFont="1" applyBorder="1" applyAlignment="1">
      <alignment horizontal="center" vertical="top" shrinkToFit="1"/>
    </xf>
    <xf numFmtId="1" fontId="11" fillId="0" borderId="10" xfId="0" applyNumberFormat="1" applyFont="1" applyBorder="1" applyAlignment="1">
      <alignment horizontal="right" vertical="top" shrinkToFit="1"/>
    </xf>
    <xf numFmtId="164" fontId="12" fillId="0" borderId="10" xfId="1" applyNumberFormat="1" applyFont="1" applyBorder="1" applyAlignment="1">
      <alignment horizontal="left" wrapText="1" indent="3"/>
    </xf>
    <xf numFmtId="1" fontId="11" fillId="0" borderId="10" xfId="0" applyNumberFormat="1" applyFont="1" applyBorder="1" applyAlignment="1">
      <alignment horizontal="center" vertical="top" shrinkToFit="1"/>
    </xf>
    <xf numFmtId="164" fontId="11" fillId="5" borderId="10" xfId="1" applyNumberFormat="1" applyFont="1" applyFill="1" applyBorder="1" applyAlignment="1">
      <alignment horizontal="right" vertical="top" shrinkToFit="1"/>
    </xf>
    <xf numFmtId="9" fontId="11" fillId="5" borderId="10" xfId="0" applyNumberFormat="1" applyFont="1" applyFill="1" applyBorder="1" applyAlignment="1">
      <alignment horizontal="center" vertical="top" shrinkToFit="1"/>
    </xf>
    <xf numFmtId="1" fontId="11" fillId="5" borderId="10" xfId="0" applyNumberFormat="1" applyFont="1" applyFill="1" applyBorder="1" applyAlignment="1">
      <alignment horizontal="right" vertical="top" shrinkToFit="1"/>
    </xf>
    <xf numFmtId="164" fontId="12" fillId="5" borderId="10" xfId="1" applyNumberFormat="1" applyFont="1" applyFill="1" applyBorder="1" applyAlignment="1">
      <alignment horizontal="left" wrapText="1" indent="3"/>
    </xf>
    <xf numFmtId="1" fontId="11" fillId="5" borderId="10" xfId="0" applyNumberFormat="1" applyFont="1" applyFill="1" applyBorder="1" applyAlignment="1">
      <alignment horizontal="center" vertical="top" shrinkToFit="1"/>
    </xf>
    <xf numFmtId="0" fontId="13" fillId="6" borderId="11" xfId="0" applyFont="1" applyFill="1" applyBorder="1" applyAlignment="1">
      <alignment horizontal="center" vertical="top" wrapText="1"/>
    </xf>
    <xf numFmtId="0" fontId="13" fillId="6" borderId="11" xfId="0" applyFont="1" applyFill="1" applyBorder="1" applyAlignment="1">
      <alignment horizontal="left" vertical="top" wrapText="1" indent="2"/>
    </xf>
    <xf numFmtId="0" fontId="14" fillId="7" borderId="12" xfId="0" applyFont="1" applyFill="1" applyBorder="1" applyAlignment="1">
      <alignment horizontal="center" vertical="top" shrinkToFit="1"/>
    </xf>
    <xf numFmtId="1" fontId="14" fillId="7" borderId="12" xfId="0" applyNumberFormat="1" applyFont="1" applyFill="1" applyBorder="1" applyAlignment="1">
      <alignment horizontal="center" vertical="top" shrinkToFit="1"/>
    </xf>
    <xf numFmtId="0" fontId="14" fillId="0" borderId="10" xfId="0" applyFont="1" applyBorder="1" applyAlignment="1">
      <alignment horizontal="center" vertical="top" shrinkToFit="1"/>
    </xf>
    <xf numFmtId="1" fontId="14" fillId="0" borderId="10" xfId="0" applyNumberFormat="1" applyFont="1" applyBorder="1" applyAlignment="1">
      <alignment horizontal="center" vertical="top" shrinkToFit="1"/>
    </xf>
    <xf numFmtId="0" fontId="14" fillId="7" borderId="10" xfId="0" applyFont="1" applyFill="1" applyBorder="1" applyAlignment="1">
      <alignment horizontal="center" vertical="top" shrinkToFit="1"/>
    </xf>
    <xf numFmtId="1" fontId="14" fillId="7" borderId="10" xfId="0" applyNumberFormat="1" applyFont="1" applyFill="1" applyBorder="1" applyAlignment="1">
      <alignment horizontal="center" vertical="top" shrinkToFit="1"/>
    </xf>
    <xf numFmtId="0" fontId="15" fillId="6" borderId="13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center" vertical="top" wrapText="1"/>
    </xf>
    <xf numFmtId="0" fontId="9" fillId="0" borderId="8" xfId="0" applyFont="1" applyBorder="1" applyAlignment="1">
      <alignment horizontal="right"/>
    </xf>
    <xf numFmtId="0" fontId="9" fillId="0" borderId="7" xfId="0" applyFont="1" applyBorder="1" applyAlignment="1">
      <alignment horizontal="right"/>
    </xf>
  </cellXfs>
  <cellStyles count="2">
    <cellStyle name="Comma 2" xfId="1" xr:uid="{6286EC42-8C8D-4CED-91D8-17BB41713FB1}"/>
    <cellStyle name="Normal" xfId="0" builtinId="0"/>
  </cellStyles>
  <dxfs count="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Speed/time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title>
    <c:autoTitleDeleted val="0"/>
    <c:plotArea>
      <c:layout>
        <c:manualLayout>
          <c:layoutTarget val="inner"/>
          <c:xMode val="edge"/>
          <c:yMode val="edge"/>
          <c:x val="6.2148356787848337E-2"/>
          <c:y val="0.1311176824262606"/>
          <c:w val="0.91207926113507165"/>
          <c:h val="0.71106813740793418"/>
        </c:manualLayout>
      </c:layout>
      <c:lineChart>
        <c:grouping val="standard"/>
        <c:varyColors val="0"/>
        <c:ser>
          <c:idx val="0"/>
          <c:order val="0"/>
          <c:tx>
            <c:strRef>
              <c:f>Graphs!$E$5</c:f>
              <c:strCache>
                <c:ptCount val="1"/>
                <c:pt idx="0">
                  <c:v>Speed (m/s)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Graphs!$C$6:$C$15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Graphs!$E$6:$E$15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6-4A18-A04F-2AB4E79C0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9021999"/>
        <c:axId val="1009022415"/>
      </c:lineChart>
      <c:catAx>
        <c:axId val="100902199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009022415"/>
        <c:crosses val="autoZero"/>
        <c:auto val="1"/>
        <c:lblAlgn val="ctr"/>
        <c:lblOffset val="100"/>
        <c:noMultiLvlLbl val="0"/>
      </c:catAx>
      <c:valAx>
        <c:axId val="100902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00902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3268022747156604"/>
          <c:y val="0.91947871099445899"/>
          <c:w val="0.16569346074203034"/>
          <c:h val="6.6383676159422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D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Speed/Distance</a:t>
            </a:r>
          </a:p>
        </c:rich>
      </c:tx>
      <c:layout>
        <c:manualLayout>
          <c:xMode val="edge"/>
          <c:yMode val="edge"/>
          <c:x val="0.40898073602222945"/>
          <c:y val="3.60583349863304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Graphs!$E$5</c:f>
              <c:strCache>
                <c:ptCount val="1"/>
                <c:pt idx="0">
                  <c:v>Speed (m/s)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Graphs!$D$6:$D$15</c:f>
              <c:numCache>
                <c:formatCode>0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27</c:v>
                </c:pt>
                <c:pt idx="4">
                  <c:v>37</c:v>
                </c:pt>
                <c:pt idx="5">
                  <c:v>49</c:v>
                </c:pt>
                <c:pt idx="6">
                  <c:v>63</c:v>
                </c:pt>
                <c:pt idx="7">
                  <c:v>75</c:v>
                </c:pt>
                <c:pt idx="8">
                  <c:v>83</c:v>
                </c:pt>
                <c:pt idx="9">
                  <c:v>91</c:v>
                </c:pt>
              </c:numCache>
            </c:numRef>
          </c:cat>
          <c:val>
            <c:numRef>
              <c:f>Graphs!$E$6:$E$15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F-46C3-82AF-605A9EA83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1730863"/>
        <c:axId val="1621736687"/>
      </c:lineChart>
      <c:catAx>
        <c:axId val="162173086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621736687"/>
        <c:crosses val="autoZero"/>
        <c:auto val="1"/>
        <c:lblAlgn val="ctr"/>
        <c:lblOffset val="100"/>
        <c:noMultiLvlLbl val="0"/>
      </c:catAx>
      <c:valAx>
        <c:axId val="16217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62173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D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16</xdr:row>
      <xdr:rowOff>7620</xdr:rowOff>
    </xdr:from>
    <xdr:to>
      <xdr:col>6</xdr:col>
      <xdr:colOff>601980</xdr:colOff>
      <xdr:row>34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F81F3-1BF5-44F7-9804-CCBA6937C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17976</xdr:colOff>
      <xdr:row>16</xdr:row>
      <xdr:rowOff>13579</xdr:rowOff>
    </xdr:from>
    <xdr:to>
      <xdr:col>17</xdr:col>
      <xdr:colOff>163928</xdr:colOff>
      <xdr:row>35</xdr:row>
      <xdr:rowOff>17389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49C356-FEC3-478E-A951-34CF00E58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New%20Microsoft%20Excel%20Worksheet%20(2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o las" refreshedDate="45289.412471759257" createdVersion="7" refreshedVersion="7" minRefreshableVersion="3" recordCount="40" xr:uid="{628B9D18-70A4-4B5E-9D93-07D0E6BFEE6B}">
  <cacheSource type="worksheet">
    <worksheetSource ref="A2:C42" sheet="Table" r:id="rId2"/>
  </cacheSource>
  <cacheFields count="3">
    <cacheField name="Students" numFmtId="1">
      <sharedItems containsSemiMixedTypes="0" containsString="0" containsNumber="1" containsInteger="1" minValue="135" maxValue="9567"/>
    </cacheField>
    <cacheField name="Faculty" numFmtId="0">
      <sharedItems count="5">
        <s v="Arts"/>
        <s v="Physics"/>
        <s v="Economics"/>
        <s v="Mathematics"/>
        <s v="Psychology"/>
      </sharedItems>
    </cacheField>
    <cacheField name="University" numFmtId="0">
      <sharedItems count="8">
        <s v="Yale"/>
        <s v="Brown"/>
        <s v="Dartmouth"/>
        <s v="Harvard"/>
        <s v="Columbia"/>
        <s v="Cornell"/>
        <s v="Princeton"/>
        <s v="Penn St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591"/>
    <x v="0"/>
    <x v="0"/>
  </r>
  <r>
    <n v="9567"/>
    <x v="1"/>
    <x v="1"/>
  </r>
  <r>
    <n v="542"/>
    <x v="2"/>
    <x v="2"/>
  </r>
  <r>
    <n v="346"/>
    <x v="2"/>
    <x v="3"/>
  </r>
  <r>
    <n v="849"/>
    <x v="0"/>
    <x v="4"/>
  </r>
  <r>
    <n v="552"/>
    <x v="2"/>
    <x v="5"/>
  </r>
  <r>
    <n v="173"/>
    <x v="0"/>
    <x v="3"/>
  </r>
  <r>
    <n v="1355"/>
    <x v="0"/>
    <x v="5"/>
  </r>
  <r>
    <n v="193"/>
    <x v="3"/>
    <x v="6"/>
  </r>
  <r>
    <n v="615"/>
    <x v="3"/>
    <x v="3"/>
  </r>
  <r>
    <n v="1579"/>
    <x v="3"/>
    <x v="1"/>
  </r>
  <r>
    <n v="547"/>
    <x v="1"/>
    <x v="2"/>
  </r>
  <r>
    <n v="1687"/>
    <x v="4"/>
    <x v="2"/>
  </r>
  <r>
    <n v="972"/>
    <x v="2"/>
    <x v="1"/>
  </r>
  <r>
    <n v="234"/>
    <x v="2"/>
    <x v="7"/>
  </r>
  <r>
    <n v="151"/>
    <x v="4"/>
    <x v="6"/>
  </r>
  <r>
    <n v="1793"/>
    <x v="1"/>
    <x v="4"/>
  </r>
  <r>
    <n v="315"/>
    <x v="4"/>
    <x v="4"/>
  </r>
  <r>
    <n v="618"/>
    <x v="1"/>
    <x v="5"/>
  </r>
  <r>
    <n v="246"/>
    <x v="1"/>
    <x v="0"/>
  </r>
  <r>
    <n v="784"/>
    <x v="1"/>
    <x v="6"/>
  </r>
  <r>
    <n v="316"/>
    <x v="3"/>
    <x v="2"/>
  </r>
  <r>
    <n v="3155"/>
    <x v="0"/>
    <x v="2"/>
  </r>
  <r>
    <n v="318"/>
    <x v="4"/>
    <x v="7"/>
  </r>
  <r>
    <n v="608"/>
    <x v="2"/>
    <x v="4"/>
  </r>
  <r>
    <n v="561"/>
    <x v="0"/>
    <x v="6"/>
  </r>
  <r>
    <n v="357"/>
    <x v="4"/>
    <x v="0"/>
  </r>
  <r>
    <n v="1688"/>
    <x v="3"/>
    <x v="4"/>
  </r>
  <r>
    <n v="972"/>
    <x v="2"/>
    <x v="6"/>
  </r>
  <r>
    <n v="568"/>
    <x v="1"/>
    <x v="7"/>
  </r>
  <r>
    <n v="632"/>
    <x v="3"/>
    <x v="7"/>
  </r>
  <r>
    <n v="551"/>
    <x v="4"/>
    <x v="5"/>
  </r>
  <r>
    <n v="948"/>
    <x v="1"/>
    <x v="3"/>
  </r>
  <r>
    <n v="1358"/>
    <x v="0"/>
    <x v="1"/>
  </r>
  <r>
    <n v="135"/>
    <x v="0"/>
    <x v="7"/>
  </r>
  <r>
    <n v="849"/>
    <x v="3"/>
    <x v="0"/>
  </r>
  <r>
    <n v="158"/>
    <x v="4"/>
    <x v="3"/>
  </r>
  <r>
    <n v="1889"/>
    <x v="3"/>
    <x v="5"/>
  </r>
  <r>
    <n v="651"/>
    <x v="4"/>
    <x v="1"/>
  </r>
  <r>
    <n v="65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5ABFB-8AAD-4827-A63B-21ED4D8CD932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9" firstHeaderRow="0" firstDataRow="1" firstDataCol="1"/>
  <pivotFields count="3">
    <pivotField dataField="1" numFmtId="1"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udents" fld="0" baseField="0" baseItem="0"/>
    <dataField name="Average of Students" fld="0" subtotal="average" baseField="1" baseItem="0"/>
  </dataFields>
  <formats count="3"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09FF6-A9AE-4E85-AB07-64FDD62EB32D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2" firstHeaderRow="0" firstDataRow="1" firstDataCol="1"/>
  <pivotFields count="3">
    <pivotField dataField="1" numFmtId="1" showAll="0"/>
    <pivotField showAll="0"/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udents" fld="0" baseField="0" baseItem="0"/>
    <dataField name="Average of Students2" fld="0" subtotal="average" baseField="2" baseItem="0"/>
  </dataFields>
  <formats count="2"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F798C-3661-4F19-A7F5-125EE8D34AD2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G13" firstHeaderRow="1" firstDataRow="2" firstDataCol="1"/>
  <pivotFields count="3">
    <pivotField dataField="1" numFmtId="1" showAll="0"/>
    <pivotField axis="axisCol" showAll="0">
      <items count="6">
        <item x="0"/>
        <item x="2"/>
        <item x="3"/>
        <item x="1"/>
        <item x="4"/>
        <item t="default"/>
      </items>
    </pivotField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tudents" fld="0" baseField="0" baseItem="0"/>
  </dataFields>
  <formats count="2">
    <format dxfId="1">
      <pivotArea dataOnly="0" labelOnly="1" fieldPosition="0">
        <references count="1">
          <reference field="1" count="4">
            <x v="1"/>
            <x v="2"/>
            <x v="3"/>
            <x v="4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62A9-F9D3-427D-851A-DEC0AA4CE706}">
  <dimension ref="A1:C42"/>
  <sheetViews>
    <sheetView workbookViewId="0">
      <selection activeCell="C42" sqref="C42"/>
    </sheetView>
  </sheetViews>
  <sheetFormatPr defaultRowHeight="14.4" x14ac:dyDescent="0.3"/>
  <cols>
    <col min="1" max="1" width="12" customWidth="1"/>
    <col min="2" max="2" width="19.44140625" customWidth="1"/>
    <col min="3" max="3" width="22.21875" customWidth="1"/>
  </cols>
  <sheetData>
    <row r="1" spans="1:3" ht="25.8" customHeight="1" x14ac:dyDescent="0.3">
      <c r="A1" s="45" t="s">
        <v>16</v>
      </c>
      <c r="B1" s="45"/>
      <c r="C1" s="45"/>
    </row>
    <row r="2" spans="1:3" x14ac:dyDescent="0.3">
      <c r="A2" s="12" t="s">
        <v>15</v>
      </c>
      <c r="B2" s="11" t="s">
        <v>14</v>
      </c>
      <c r="C2" s="11" t="s">
        <v>13</v>
      </c>
    </row>
    <row r="3" spans="1:3" x14ac:dyDescent="0.3">
      <c r="A3" s="8">
        <v>591</v>
      </c>
      <c r="B3" s="7" t="s">
        <v>8</v>
      </c>
      <c r="C3" s="7" t="s">
        <v>0</v>
      </c>
    </row>
    <row r="4" spans="1:3" x14ac:dyDescent="0.3">
      <c r="A4" s="10">
        <v>9567</v>
      </c>
      <c r="B4" s="9" t="s">
        <v>9</v>
      </c>
      <c r="C4" s="9" t="s">
        <v>2</v>
      </c>
    </row>
    <row r="5" spans="1:3" x14ac:dyDescent="0.3">
      <c r="A5" s="8">
        <v>542</v>
      </c>
      <c r="B5" s="7" t="s">
        <v>1</v>
      </c>
      <c r="C5" s="7" t="s">
        <v>12</v>
      </c>
    </row>
    <row r="6" spans="1:3" x14ac:dyDescent="0.3">
      <c r="A6" s="10">
        <v>346</v>
      </c>
      <c r="B6" s="9" t="s">
        <v>1</v>
      </c>
      <c r="C6" s="9" t="s">
        <v>6</v>
      </c>
    </row>
    <row r="7" spans="1:3" x14ac:dyDescent="0.3">
      <c r="A7" s="8">
        <v>849</v>
      </c>
      <c r="B7" s="7" t="s">
        <v>8</v>
      </c>
      <c r="C7" s="7" t="s">
        <v>11</v>
      </c>
    </row>
    <row r="8" spans="1:3" x14ac:dyDescent="0.3">
      <c r="A8" s="10">
        <v>552</v>
      </c>
      <c r="B8" s="9" t="s">
        <v>1</v>
      </c>
      <c r="C8" s="9" t="s">
        <v>4</v>
      </c>
    </row>
    <row r="9" spans="1:3" x14ac:dyDescent="0.3">
      <c r="A9" s="8">
        <v>173</v>
      </c>
      <c r="B9" s="7" t="s">
        <v>8</v>
      </c>
      <c r="C9" s="7" t="s">
        <v>6</v>
      </c>
    </row>
    <row r="10" spans="1:3" x14ac:dyDescent="0.3">
      <c r="A10" s="6">
        <v>1355</v>
      </c>
      <c r="B10" s="5" t="s">
        <v>8</v>
      </c>
      <c r="C10" s="5" t="s">
        <v>4</v>
      </c>
    </row>
    <row r="11" spans="1:3" x14ac:dyDescent="0.3">
      <c r="A11" s="4">
        <v>193</v>
      </c>
      <c r="B11" s="3" t="s">
        <v>5</v>
      </c>
      <c r="C11" s="3" t="s">
        <v>10</v>
      </c>
    </row>
    <row r="12" spans="1:3" x14ac:dyDescent="0.3">
      <c r="A12" s="2">
        <v>615</v>
      </c>
      <c r="B12" s="1" t="s">
        <v>5</v>
      </c>
      <c r="C12" s="1" t="s">
        <v>6</v>
      </c>
    </row>
    <row r="13" spans="1:3" x14ac:dyDescent="0.3">
      <c r="A13" s="4">
        <v>1579</v>
      </c>
      <c r="B13" s="3" t="s">
        <v>5</v>
      </c>
      <c r="C13" s="3" t="s">
        <v>2</v>
      </c>
    </row>
    <row r="14" spans="1:3" x14ac:dyDescent="0.3">
      <c r="A14" s="2">
        <v>547</v>
      </c>
      <c r="B14" s="1" t="s">
        <v>9</v>
      </c>
      <c r="C14" s="1" t="s">
        <v>12</v>
      </c>
    </row>
    <row r="15" spans="1:3" x14ac:dyDescent="0.3">
      <c r="A15" s="4">
        <v>1687</v>
      </c>
      <c r="B15" s="3" t="s">
        <v>3</v>
      </c>
      <c r="C15" s="3" t="s">
        <v>12</v>
      </c>
    </row>
    <row r="16" spans="1:3" x14ac:dyDescent="0.3">
      <c r="A16" s="2">
        <v>972</v>
      </c>
      <c r="B16" s="1" t="s">
        <v>1</v>
      </c>
      <c r="C16" s="1" t="s">
        <v>2</v>
      </c>
    </row>
    <row r="17" spans="1:3" x14ac:dyDescent="0.3">
      <c r="A17" s="4">
        <v>234</v>
      </c>
      <c r="B17" s="3" t="s">
        <v>1</v>
      </c>
      <c r="C17" s="3" t="s">
        <v>7</v>
      </c>
    </row>
    <row r="18" spans="1:3" x14ac:dyDescent="0.3">
      <c r="A18" s="2">
        <v>151</v>
      </c>
      <c r="B18" s="1" t="s">
        <v>3</v>
      </c>
      <c r="C18" s="1" t="s">
        <v>10</v>
      </c>
    </row>
    <row r="19" spans="1:3" x14ac:dyDescent="0.3">
      <c r="A19" s="4">
        <v>1793</v>
      </c>
      <c r="B19" s="3" t="s">
        <v>9</v>
      </c>
      <c r="C19" s="3" t="s">
        <v>11</v>
      </c>
    </row>
    <row r="20" spans="1:3" x14ac:dyDescent="0.3">
      <c r="A20" s="2">
        <v>315</v>
      </c>
      <c r="B20" s="1" t="s">
        <v>3</v>
      </c>
      <c r="C20" s="1" t="s">
        <v>11</v>
      </c>
    </row>
    <row r="21" spans="1:3" x14ac:dyDescent="0.3">
      <c r="A21" s="4">
        <v>618</v>
      </c>
      <c r="B21" s="3" t="s">
        <v>9</v>
      </c>
      <c r="C21" s="3" t="s">
        <v>4</v>
      </c>
    </row>
    <row r="22" spans="1:3" x14ac:dyDescent="0.3">
      <c r="A22" s="2">
        <v>246</v>
      </c>
      <c r="B22" s="1" t="s">
        <v>9</v>
      </c>
      <c r="C22" s="1" t="s">
        <v>0</v>
      </c>
    </row>
    <row r="23" spans="1:3" x14ac:dyDescent="0.3">
      <c r="A23" s="4">
        <v>784</v>
      </c>
      <c r="B23" s="3" t="s">
        <v>9</v>
      </c>
      <c r="C23" s="3" t="s">
        <v>10</v>
      </c>
    </row>
    <row r="24" spans="1:3" x14ac:dyDescent="0.3">
      <c r="A24" s="2">
        <v>316</v>
      </c>
      <c r="B24" s="1" t="s">
        <v>5</v>
      </c>
      <c r="C24" s="1" t="s">
        <v>12</v>
      </c>
    </row>
    <row r="25" spans="1:3" x14ac:dyDescent="0.3">
      <c r="A25" s="4">
        <v>3155</v>
      </c>
      <c r="B25" s="3" t="s">
        <v>8</v>
      </c>
      <c r="C25" s="3" t="s">
        <v>12</v>
      </c>
    </row>
    <row r="26" spans="1:3" x14ac:dyDescent="0.3">
      <c r="A26" s="2">
        <v>318</v>
      </c>
      <c r="B26" s="1" t="s">
        <v>3</v>
      </c>
      <c r="C26" s="1" t="s">
        <v>7</v>
      </c>
    </row>
    <row r="27" spans="1:3" x14ac:dyDescent="0.3">
      <c r="A27" s="4">
        <v>608</v>
      </c>
      <c r="B27" s="3" t="s">
        <v>1</v>
      </c>
      <c r="C27" s="3" t="s">
        <v>11</v>
      </c>
    </row>
    <row r="28" spans="1:3" x14ac:dyDescent="0.3">
      <c r="A28" s="2">
        <v>561</v>
      </c>
      <c r="B28" s="1" t="s">
        <v>8</v>
      </c>
      <c r="C28" s="1" t="s">
        <v>10</v>
      </c>
    </row>
    <row r="29" spans="1:3" x14ac:dyDescent="0.3">
      <c r="A29" s="4">
        <v>357</v>
      </c>
      <c r="B29" s="3" t="s">
        <v>3</v>
      </c>
      <c r="C29" s="3" t="s">
        <v>0</v>
      </c>
    </row>
    <row r="30" spans="1:3" x14ac:dyDescent="0.3">
      <c r="A30" s="2">
        <v>1688</v>
      </c>
      <c r="B30" s="1" t="s">
        <v>5</v>
      </c>
      <c r="C30" s="1" t="s">
        <v>11</v>
      </c>
    </row>
    <row r="31" spans="1:3" x14ac:dyDescent="0.3">
      <c r="A31" s="4">
        <v>972</v>
      </c>
      <c r="B31" s="3" t="s">
        <v>1</v>
      </c>
      <c r="C31" s="3" t="s">
        <v>10</v>
      </c>
    </row>
    <row r="32" spans="1:3" x14ac:dyDescent="0.3">
      <c r="A32" s="2">
        <v>568</v>
      </c>
      <c r="B32" s="1" t="s">
        <v>9</v>
      </c>
      <c r="C32" s="1" t="s">
        <v>7</v>
      </c>
    </row>
    <row r="33" spans="1:3" x14ac:dyDescent="0.3">
      <c r="A33" s="4">
        <v>632</v>
      </c>
      <c r="B33" s="3" t="s">
        <v>5</v>
      </c>
      <c r="C33" s="3" t="s">
        <v>7</v>
      </c>
    </row>
    <row r="34" spans="1:3" x14ac:dyDescent="0.3">
      <c r="A34" s="2">
        <v>551</v>
      </c>
      <c r="B34" s="1" t="s">
        <v>3</v>
      </c>
      <c r="C34" s="1" t="s">
        <v>4</v>
      </c>
    </row>
    <row r="35" spans="1:3" x14ac:dyDescent="0.3">
      <c r="A35" s="4">
        <v>948</v>
      </c>
      <c r="B35" s="3" t="s">
        <v>9</v>
      </c>
      <c r="C35" s="3" t="s">
        <v>6</v>
      </c>
    </row>
    <row r="36" spans="1:3" x14ac:dyDescent="0.3">
      <c r="A36" s="2">
        <v>1358</v>
      </c>
      <c r="B36" s="1" t="s">
        <v>8</v>
      </c>
      <c r="C36" s="1" t="s">
        <v>2</v>
      </c>
    </row>
    <row r="37" spans="1:3" x14ac:dyDescent="0.3">
      <c r="A37" s="4">
        <v>135</v>
      </c>
      <c r="B37" s="3" t="s">
        <v>8</v>
      </c>
      <c r="C37" s="3" t="s">
        <v>7</v>
      </c>
    </row>
    <row r="38" spans="1:3" x14ac:dyDescent="0.3">
      <c r="A38" s="2">
        <v>849</v>
      </c>
      <c r="B38" s="1" t="s">
        <v>5</v>
      </c>
      <c r="C38" s="1" t="s">
        <v>0</v>
      </c>
    </row>
    <row r="39" spans="1:3" x14ac:dyDescent="0.3">
      <c r="A39" s="4">
        <v>158</v>
      </c>
      <c r="B39" s="3" t="s">
        <v>3</v>
      </c>
      <c r="C39" s="3" t="s">
        <v>6</v>
      </c>
    </row>
    <row r="40" spans="1:3" x14ac:dyDescent="0.3">
      <c r="A40" s="2">
        <v>1889</v>
      </c>
      <c r="B40" s="1" t="s">
        <v>5</v>
      </c>
      <c r="C40" s="1" t="s">
        <v>4</v>
      </c>
    </row>
    <row r="41" spans="1:3" x14ac:dyDescent="0.3">
      <c r="A41" s="4">
        <v>651</v>
      </c>
      <c r="B41" s="3" t="s">
        <v>3</v>
      </c>
      <c r="C41" s="3" t="s">
        <v>2</v>
      </c>
    </row>
    <row r="42" spans="1:3" x14ac:dyDescent="0.3">
      <c r="A42" s="2">
        <v>651</v>
      </c>
      <c r="B42" s="1" t="s">
        <v>1</v>
      </c>
      <c r="C42" s="1" t="s">
        <v>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3803-B738-4D68-92D3-8934D7B00102}">
  <dimension ref="A3:C9"/>
  <sheetViews>
    <sheetView workbookViewId="0">
      <selection activeCell="A10" sqref="A10"/>
    </sheetView>
  </sheetViews>
  <sheetFormatPr defaultRowHeight="14.4" x14ac:dyDescent="0.3"/>
  <cols>
    <col min="1" max="1" width="12.88671875" customWidth="1"/>
    <col min="2" max="2" width="20.21875" customWidth="1"/>
    <col min="3" max="3" width="22.88671875" customWidth="1"/>
    <col min="4" max="4" width="6.88671875" bestFit="1" customWidth="1"/>
    <col min="5" max="5" width="10.21875" bestFit="1" customWidth="1"/>
    <col min="6" max="6" width="7.6640625" bestFit="1" customWidth="1"/>
    <col min="7" max="7" width="10.109375" bestFit="1" customWidth="1"/>
    <col min="8" max="8" width="9.109375" bestFit="1" customWidth="1"/>
    <col min="9" max="9" width="5" bestFit="1" customWidth="1"/>
    <col min="10" max="10" width="10.77734375" bestFit="1" customWidth="1"/>
  </cols>
  <sheetData>
    <row r="3" spans="1:3" x14ac:dyDescent="0.3">
      <c r="A3" s="16" t="s">
        <v>20</v>
      </c>
      <c r="B3" s="15" t="s">
        <v>19</v>
      </c>
      <c r="C3" s="15" t="s">
        <v>18</v>
      </c>
    </row>
    <row r="4" spans="1:3" x14ac:dyDescent="0.3">
      <c r="A4" s="13" t="s">
        <v>8</v>
      </c>
      <c r="B4">
        <v>8177</v>
      </c>
      <c r="C4" s="14">
        <v>1022.125</v>
      </c>
    </row>
    <row r="5" spans="1:3" x14ac:dyDescent="0.3">
      <c r="A5" s="13" t="s">
        <v>1</v>
      </c>
      <c r="B5">
        <v>4877</v>
      </c>
      <c r="C5">
        <v>609.625</v>
      </c>
    </row>
    <row r="6" spans="1:3" x14ac:dyDescent="0.3">
      <c r="A6" s="13" t="s">
        <v>5</v>
      </c>
      <c r="B6">
        <v>7761</v>
      </c>
      <c r="C6">
        <v>970.125</v>
      </c>
    </row>
    <row r="7" spans="1:3" x14ac:dyDescent="0.3">
      <c r="A7" s="13" t="s">
        <v>9</v>
      </c>
      <c r="B7">
        <v>15071</v>
      </c>
      <c r="C7">
        <v>1883.875</v>
      </c>
    </row>
    <row r="8" spans="1:3" x14ac:dyDescent="0.3">
      <c r="A8" s="13" t="s">
        <v>3</v>
      </c>
      <c r="B8">
        <v>4188</v>
      </c>
      <c r="C8">
        <v>523.5</v>
      </c>
    </row>
    <row r="9" spans="1:3" x14ac:dyDescent="0.3">
      <c r="A9" s="13" t="s">
        <v>17</v>
      </c>
      <c r="B9">
        <v>40074</v>
      </c>
      <c r="C9">
        <v>1001.85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E4AA-E480-43B1-9D12-4CD1E1E2306A}">
  <dimension ref="A3:C12"/>
  <sheetViews>
    <sheetView workbookViewId="0">
      <selection activeCell="A13" sqref="A13"/>
    </sheetView>
  </sheetViews>
  <sheetFormatPr defaultRowHeight="14.4" x14ac:dyDescent="0.3"/>
  <cols>
    <col min="1" max="1" width="11.77734375" customWidth="1"/>
    <col min="2" max="2" width="16.44140625" customWidth="1"/>
    <col min="3" max="3" width="19.77734375" customWidth="1"/>
  </cols>
  <sheetData>
    <row r="3" spans="1:3" x14ac:dyDescent="0.3">
      <c r="A3" s="16" t="s">
        <v>20</v>
      </c>
      <c r="B3" s="15" t="s">
        <v>19</v>
      </c>
      <c r="C3" s="15" t="s">
        <v>21</v>
      </c>
    </row>
    <row r="4" spans="1:3" x14ac:dyDescent="0.3">
      <c r="A4" s="13" t="s">
        <v>2</v>
      </c>
      <c r="B4">
        <v>14127</v>
      </c>
      <c r="C4">
        <v>2825.4</v>
      </c>
    </row>
    <row r="5" spans="1:3" x14ac:dyDescent="0.3">
      <c r="A5" s="13" t="s">
        <v>11</v>
      </c>
      <c r="B5">
        <v>5253</v>
      </c>
      <c r="C5">
        <v>1050.5999999999999</v>
      </c>
    </row>
    <row r="6" spans="1:3" x14ac:dyDescent="0.3">
      <c r="A6" s="13" t="s">
        <v>4</v>
      </c>
      <c r="B6">
        <v>4965</v>
      </c>
      <c r="C6">
        <v>993</v>
      </c>
    </row>
    <row r="7" spans="1:3" x14ac:dyDescent="0.3">
      <c r="A7" s="13" t="s">
        <v>12</v>
      </c>
      <c r="B7">
        <v>6247</v>
      </c>
      <c r="C7">
        <v>1249.4000000000001</v>
      </c>
    </row>
    <row r="8" spans="1:3" x14ac:dyDescent="0.3">
      <c r="A8" s="13" t="s">
        <v>6</v>
      </c>
      <c r="B8">
        <v>2240</v>
      </c>
      <c r="C8">
        <v>448</v>
      </c>
    </row>
    <row r="9" spans="1:3" x14ac:dyDescent="0.3">
      <c r="A9" s="13" t="s">
        <v>7</v>
      </c>
      <c r="B9">
        <v>1887</v>
      </c>
      <c r="C9">
        <v>377.4</v>
      </c>
    </row>
    <row r="10" spans="1:3" x14ac:dyDescent="0.3">
      <c r="A10" s="13" t="s">
        <v>10</v>
      </c>
      <c r="B10">
        <v>2661</v>
      </c>
      <c r="C10">
        <v>532.20000000000005</v>
      </c>
    </row>
    <row r="11" spans="1:3" x14ac:dyDescent="0.3">
      <c r="A11" s="13" t="s">
        <v>0</v>
      </c>
      <c r="B11">
        <v>2694</v>
      </c>
      <c r="C11">
        <v>538.79999999999995</v>
      </c>
    </row>
    <row r="12" spans="1:3" x14ac:dyDescent="0.3">
      <c r="A12" s="13" t="s">
        <v>17</v>
      </c>
      <c r="B12">
        <v>40074</v>
      </c>
      <c r="C12">
        <v>1001.85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28DC-FFBA-41D4-8838-072CEABAC305}">
  <dimension ref="A3:G13"/>
  <sheetViews>
    <sheetView workbookViewId="0">
      <selection activeCell="A14" sqref="A14"/>
    </sheetView>
  </sheetViews>
  <sheetFormatPr defaultRowHeight="14.4" x14ac:dyDescent="0.3"/>
  <cols>
    <col min="1" max="1" width="15" bestFit="1" customWidth="1"/>
    <col min="2" max="2" width="15.5546875" bestFit="1" customWidth="1"/>
    <col min="3" max="3" width="14.77734375" customWidth="1"/>
    <col min="4" max="4" width="17.77734375" customWidth="1"/>
    <col min="5" max="5" width="12.109375" customWidth="1"/>
    <col min="6" max="6" width="16.21875" customWidth="1"/>
    <col min="7" max="7" width="20.109375" customWidth="1"/>
  </cols>
  <sheetData>
    <row r="3" spans="1:7" x14ac:dyDescent="0.3">
      <c r="A3" s="16" t="s">
        <v>19</v>
      </c>
      <c r="B3" s="16" t="s">
        <v>22</v>
      </c>
    </row>
    <row r="4" spans="1:7" x14ac:dyDescent="0.3">
      <c r="A4" s="16" t="s">
        <v>20</v>
      </c>
      <c r="B4" t="s">
        <v>8</v>
      </c>
      <c r="C4" s="15" t="s">
        <v>1</v>
      </c>
      <c r="D4" s="15" t="s">
        <v>5</v>
      </c>
      <c r="E4" s="15" t="s">
        <v>9</v>
      </c>
      <c r="F4" s="15" t="s">
        <v>3</v>
      </c>
      <c r="G4" s="15" t="s">
        <v>17</v>
      </c>
    </row>
    <row r="5" spans="1:7" x14ac:dyDescent="0.3">
      <c r="A5" s="13" t="s">
        <v>2</v>
      </c>
      <c r="B5">
        <v>1358</v>
      </c>
      <c r="C5">
        <v>972</v>
      </c>
      <c r="D5">
        <v>1579</v>
      </c>
      <c r="E5">
        <v>9567</v>
      </c>
      <c r="F5">
        <v>651</v>
      </c>
      <c r="G5">
        <v>14127</v>
      </c>
    </row>
    <row r="6" spans="1:7" x14ac:dyDescent="0.3">
      <c r="A6" s="13" t="s">
        <v>11</v>
      </c>
      <c r="B6">
        <v>849</v>
      </c>
      <c r="C6">
        <v>608</v>
      </c>
      <c r="D6">
        <v>1688</v>
      </c>
      <c r="E6">
        <v>1793</v>
      </c>
      <c r="F6">
        <v>315</v>
      </c>
      <c r="G6">
        <v>5253</v>
      </c>
    </row>
    <row r="7" spans="1:7" x14ac:dyDescent="0.3">
      <c r="A7" s="13" t="s">
        <v>4</v>
      </c>
      <c r="B7">
        <v>1355</v>
      </c>
      <c r="C7">
        <v>552</v>
      </c>
      <c r="D7">
        <v>1889</v>
      </c>
      <c r="E7">
        <v>618</v>
      </c>
      <c r="F7">
        <v>551</v>
      </c>
      <c r="G7">
        <v>4965</v>
      </c>
    </row>
    <row r="8" spans="1:7" x14ac:dyDescent="0.3">
      <c r="A8" s="13" t="s">
        <v>12</v>
      </c>
      <c r="B8">
        <v>3155</v>
      </c>
      <c r="C8">
        <v>542</v>
      </c>
      <c r="D8">
        <v>316</v>
      </c>
      <c r="E8">
        <v>547</v>
      </c>
      <c r="F8">
        <v>1687</v>
      </c>
      <c r="G8">
        <v>6247</v>
      </c>
    </row>
    <row r="9" spans="1:7" x14ac:dyDescent="0.3">
      <c r="A9" s="13" t="s">
        <v>6</v>
      </c>
      <c r="B9">
        <v>173</v>
      </c>
      <c r="C9">
        <v>346</v>
      </c>
      <c r="D9">
        <v>615</v>
      </c>
      <c r="E9">
        <v>948</v>
      </c>
      <c r="F9">
        <v>158</v>
      </c>
      <c r="G9">
        <v>2240</v>
      </c>
    </row>
    <row r="10" spans="1:7" x14ac:dyDescent="0.3">
      <c r="A10" s="13" t="s">
        <v>7</v>
      </c>
      <c r="B10">
        <v>135</v>
      </c>
      <c r="C10">
        <v>234</v>
      </c>
      <c r="D10">
        <v>632</v>
      </c>
      <c r="E10">
        <v>568</v>
      </c>
      <c r="F10">
        <v>318</v>
      </c>
      <c r="G10">
        <v>1887</v>
      </c>
    </row>
    <row r="11" spans="1:7" x14ac:dyDescent="0.3">
      <c r="A11" s="13" t="s">
        <v>10</v>
      </c>
      <c r="B11">
        <v>561</v>
      </c>
      <c r="C11">
        <v>972</v>
      </c>
      <c r="D11">
        <v>193</v>
      </c>
      <c r="E11">
        <v>784</v>
      </c>
      <c r="F11">
        <v>151</v>
      </c>
      <c r="G11">
        <v>2661</v>
      </c>
    </row>
    <row r="12" spans="1:7" x14ac:dyDescent="0.3">
      <c r="A12" s="13" t="s">
        <v>0</v>
      </c>
      <c r="B12">
        <v>591</v>
      </c>
      <c r="C12">
        <v>651</v>
      </c>
      <c r="D12">
        <v>849</v>
      </c>
      <c r="E12">
        <v>246</v>
      </c>
      <c r="F12">
        <v>357</v>
      </c>
      <c r="G12">
        <v>2694</v>
      </c>
    </row>
    <row r="13" spans="1:7" x14ac:dyDescent="0.3">
      <c r="A13" s="13" t="s">
        <v>17</v>
      </c>
      <c r="B13">
        <v>8177</v>
      </c>
      <c r="C13">
        <v>4877</v>
      </c>
      <c r="D13">
        <v>7761</v>
      </c>
      <c r="E13">
        <v>15071</v>
      </c>
      <c r="F13">
        <v>4188</v>
      </c>
      <c r="G13">
        <v>40074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CD17-BDB0-4A38-A54C-C3EF1AC949C1}">
  <dimension ref="D3:J22"/>
  <sheetViews>
    <sheetView workbookViewId="0">
      <selection activeCell="J22" sqref="J22"/>
    </sheetView>
  </sheetViews>
  <sheetFormatPr defaultRowHeight="14.4" x14ac:dyDescent="0.3"/>
  <cols>
    <col min="4" max="4" width="14.21875" customWidth="1"/>
    <col min="5" max="5" width="18.33203125" customWidth="1"/>
    <col min="6" max="6" width="14.21875" customWidth="1"/>
    <col min="7" max="7" width="18.21875" customWidth="1"/>
    <col min="8" max="8" width="14.33203125" customWidth="1"/>
    <col min="9" max="9" width="13.6640625" customWidth="1"/>
    <col min="10" max="10" width="20.109375" customWidth="1"/>
  </cols>
  <sheetData>
    <row r="3" spans="4:10" ht="15.6" x14ac:dyDescent="0.3">
      <c r="D3" s="36" t="s">
        <v>33</v>
      </c>
      <c r="E3" s="36" t="s">
        <v>32</v>
      </c>
      <c r="F3" s="37" t="s">
        <v>31</v>
      </c>
      <c r="G3" s="36" t="s">
        <v>30</v>
      </c>
      <c r="H3" s="36" t="s">
        <v>29</v>
      </c>
      <c r="I3" s="36" t="s">
        <v>28</v>
      </c>
      <c r="J3" s="36" t="s">
        <v>27</v>
      </c>
    </row>
    <row r="4" spans="4:10" x14ac:dyDescent="0.3">
      <c r="D4" s="30">
        <v>1</v>
      </c>
      <c r="E4" s="29">
        <v>120</v>
      </c>
      <c r="F4" s="28">
        <v>3</v>
      </c>
      <c r="G4" s="26">
        <f t="shared" ref="G4:G17" si="0">E4*F4</f>
        <v>360</v>
      </c>
      <c r="H4" s="27">
        <f t="shared" ref="H4:H17" si="1">IF(AND(G4&gt;99,G4&lt;1000),5%,IF(G4&lt;1000,0%,10%))</f>
        <v>0.05</v>
      </c>
      <c r="I4" s="26">
        <f t="shared" ref="I4:I17" si="2">G4*H4</f>
        <v>18</v>
      </c>
      <c r="J4" s="26">
        <f t="shared" ref="J4:J17" si="3">G4-I4</f>
        <v>342</v>
      </c>
    </row>
    <row r="5" spans="4:10" x14ac:dyDescent="0.3">
      <c r="D5" s="35">
        <v>2</v>
      </c>
      <c r="E5" s="34">
        <v>56</v>
      </c>
      <c r="F5" s="33">
        <v>5</v>
      </c>
      <c r="G5" s="31">
        <f t="shared" si="0"/>
        <v>280</v>
      </c>
      <c r="H5" s="32">
        <f t="shared" si="1"/>
        <v>0.05</v>
      </c>
      <c r="I5" s="31">
        <f t="shared" si="2"/>
        <v>14</v>
      </c>
      <c r="J5" s="31">
        <f t="shared" si="3"/>
        <v>266</v>
      </c>
    </row>
    <row r="6" spans="4:10" x14ac:dyDescent="0.3">
      <c r="D6" s="30">
        <v>3</v>
      </c>
      <c r="E6" s="29">
        <v>70</v>
      </c>
      <c r="F6" s="28">
        <v>2</v>
      </c>
      <c r="G6" s="26">
        <f t="shared" si="0"/>
        <v>140</v>
      </c>
      <c r="H6" s="27">
        <f t="shared" si="1"/>
        <v>0.05</v>
      </c>
      <c r="I6" s="26">
        <f t="shared" si="2"/>
        <v>7</v>
      </c>
      <c r="J6" s="26">
        <f t="shared" si="3"/>
        <v>133</v>
      </c>
    </row>
    <row r="7" spans="4:10" x14ac:dyDescent="0.3">
      <c r="D7" s="35">
        <v>4</v>
      </c>
      <c r="E7" s="34">
        <v>430</v>
      </c>
      <c r="F7" s="33">
        <v>7</v>
      </c>
      <c r="G7" s="31">
        <f t="shared" si="0"/>
        <v>3010</v>
      </c>
      <c r="H7" s="32">
        <f t="shared" si="1"/>
        <v>0.1</v>
      </c>
      <c r="I7" s="31">
        <f t="shared" si="2"/>
        <v>301</v>
      </c>
      <c r="J7" s="31">
        <f t="shared" si="3"/>
        <v>2709</v>
      </c>
    </row>
    <row r="8" spans="4:10" x14ac:dyDescent="0.3">
      <c r="D8" s="30">
        <v>5</v>
      </c>
      <c r="E8" s="29">
        <v>230</v>
      </c>
      <c r="F8" s="28">
        <v>23</v>
      </c>
      <c r="G8" s="26">
        <f t="shared" si="0"/>
        <v>5290</v>
      </c>
      <c r="H8" s="27">
        <f t="shared" si="1"/>
        <v>0.1</v>
      </c>
      <c r="I8" s="26">
        <f t="shared" si="2"/>
        <v>529</v>
      </c>
      <c r="J8" s="26">
        <f t="shared" si="3"/>
        <v>4761</v>
      </c>
    </row>
    <row r="9" spans="4:10" x14ac:dyDescent="0.3">
      <c r="D9" s="35">
        <v>6</v>
      </c>
      <c r="E9" s="34">
        <v>10</v>
      </c>
      <c r="F9" s="33">
        <v>2</v>
      </c>
      <c r="G9" s="31">
        <f t="shared" si="0"/>
        <v>20</v>
      </c>
      <c r="H9" s="32">
        <f t="shared" si="1"/>
        <v>0</v>
      </c>
      <c r="I9" s="31">
        <f t="shared" si="2"/>
        <v>0</v>
      </c>
      <c r="J9" s="31">
        <f t="shared" si="3"/>
        <v>20</v>
      </c>
    </row>
    <row r="10" spans="4:10" x14ac:dyDescent="0.3">
      <c r="D10" s="30">
        <v>7</v>
      </c>
      <c r="E10" s="29">
        <v>5</v>
      </c>
      <c r="F10" s="28">
        <v>8</v>
      </c>
      <c r="G10" s="26">
        <f t="shared" si="0"/>
        <v>40</v>
      </c>
      <c r="H10" s="27">
        <f t="shared" si="1"/>
        <v>0</v>
      </c>
      <c r="I10" s="26">
        <f t="shared" si="2"/>
        <v>0</v>
      </c>
      <c r="J10" s="26">
        <f t="shared" si="3"/>
        <v>40</v>
      </c>
    </row>
    <row r="11" spans="4:10" x14ac:dyDescent="0.3">
      <c r="D11" s="35">
        <v>8</v>
      </c>
      <c r="E11" s="34">
        <v>5040</v>
      </c>
      <c r="F11" s="33">
        <v>1</v>
      </c>
      <c r="G11" s="31">
        <f t="shared" si="0"/>
        <v>5040</v>
      </c>
      <c r="H11" s="32">
        <f t="shared" si="1"/>
        <v>0.1</v>
      </c>
      <c r="I11" s="31">
        <f t="shared" si="2"/>
        <v>504</v>
      </c>
      <c r="J11" s="31">
        <f t="shared" si="3"/>
        <v>4536</v>
      </c>
    </row>
    <row r="12" spans="4:10" x14ac:dyDescent="0.3">
      <c r="D12" s="30">
        <v>9</v>
      </c>
      <c r="E12" s="29">
        <v>1200</v>
      </c>
      <c r="F12" s="28">
        <v>3</v>
      </c>
      <c r="G12" s="26">
        <f t="shared" si="0"/>
        <v>3600</v>
      </c>
      <c r="H12" s="27">
        <f t="shared" si="1"/>
        <v>0.1</v>
      </c>
      <c r="I12" s="26">
        <f t="shared" si="2"/>
        <v>360</v>
      </c>
      <c r="J12" s="26">
        <f t="shared" si="3"/>
        <v>3240</v>
      </c>
    </row>
    <row r="13" spans="4:10" x14ac:dyDescent="0.3">
      <c r="D13" s="35">
        <v>10</v>
      </c>
      <c r="E13" s="34">
        <v>480</v>
      </c>
      <c r="F13" s="33">
        <v>4</v>
      </c>
      <c r="G13" s="31">
        <f t="shared" si="0"/>
        <v>1920</v>
      </c>
      <c r="H13" s="32">
        <f t="shared" si="1"/>
        <v>0.1</v>
      </c>
      <c r="I13" s="31">
        <f t="shared" si="2"/>
        <v>192</v>
      </c>
      <c r="J13" s="31">
        <f t="shared" si="3"/>
        <v>1728</v>
      </c>
    </row>
    <row r="14" spans="4:10" x14ac:dyDescent="0.3">
      <c r="D14" s="30">
        <v>11</v>
      </c>
      <c r="E14" s="29">
        <v>33</v>
      </c>
      <c r="F14" s="28">
        <v>5</v>
      </c>
      <c r="G14" s="26">
        <f t="shared" si="0"/>
        <v>165</v>
      </c>
      <c r="H14" s="27">
        <f t="shared" si="1"/>
        <v>0.05</v>
      </c>
      <c r="I14" s="26">
        <f t="shared" si="2"/>
        <v>8.25</v>
      </c>
      <c r="J14" s="26">
        <f t="shared" si="3"/>
        <v>156.75</v>
      </c>
    </row>
    <row r="15" spans="4:10" x14ac:dyDescent="0.3">
      <c r="D15" s="35">
        <v>12</v>
      </c>
      <c r="E15" s="34">
        <v>1200</v>
      </c>
      <c r="F15" s="33">
        <v>2</v>
      </c>
      <c r="G15" s="31">
        <f t="shared" si="0"/>
        <v>2400</v>
      </c>
      <c r="H15" s="32">
        <f t="shared" si="1"/>
        <v>0.1</v>
      </c>
      <c r="I15" s="31">
        <f t="shared" si="2"/>
        <v>240</v>
      </c>
      <c r="J15" s="31">
        <f t="shared" si="3"/>
        <v>2160</v>
      </c>
    </row>
    <row r="16" spans="4:10" x14ac:dyDescent="0.3">
      <c r="D16" s="30">
        <v>13</v>
      </c>
      <c r="E16" s="29">
        <v>15</v>
      </c>
      <c r="F16" s="28">
        <v>10</v>
      </c>
      <c r="G16" s="26">
        <f t="shared" si="0"/>
        <v>150</v>
      </c>
      <c r="H16" s="27">
        <f t="shared" si="1"/>
        <v>0.05</v>
      </c>
      <c r="I16" s="26">
        <f t="shared" si="2"/>
        <v>7.5</v>
      </c>
      <c r="J16" s="26">
        <f t="shared" si="3"/>
        <v>142.5</v>
      </c>
    </row>
    <row r="17" spans="4:10" x14ac:dyDescent="0.3">
      <c r="D17" s="25">
        <v>14</v>
      </c>
      <c r="E17" s="24">
        <v>24</v>
      </c>
      <c r="F17" s="23">
        <v>5</v>
      </c>
      <c r="G17" s="21">
        <f t="shared" si="0"/>
        <v>120</v>
      </c>
      <c r="H17" s="22">
        <f t="shared" si="1"/>
        <v>0.05</v>
      </c>
      <c r="I17" s="21">
        <f t="shared" si="2"/>
        <v>6</v>
      </c>
      <c r="J17" s="21">
        <f t="shared" si="3"/>
        <v>114</v>
      </c>
    </row>
    <row r="19" spans="4:10" ht="15.6" x14ac:dyDescent="0.3">
      <c r="E19" s="20"/>
      <c r="H19" s="46" t="s">
        <v>26</v>
      </c>
      <c r="I19" s="47"/>
      <c r="J19" s="18">
        <f>SUM(J4:J17)</f>
        <v>20348.25</v>
      </c>
    </row>
    <row r="20" spans="4:10" ht="15.6" x14ac:dyDescent="0.3">
      <c r="H20" s="46" t="s">
        <v>25</v>
      </c>
      <c r="I20" s="47"/>
      <c r="J20" s="19">
        <v>0.19</v>
      </c>
    </row>
    <row r="21" spans="4:10" ht="15.6" x14ac:dyDescent="0.3">
      <c r="H21" s="46" t="s">
        <v>24</v>
      </c>
      <c r="I21" s="47"/>
      <c r="J21" s="18">
        <f>J19*J20</f>
        <v>3866.1675</v>
      </c>
    </row>
    <row r="22" spans="4:10" ht="17.399999999999999" x14ac:dyDescent="0.3">
      <c r="H22" s="46" t="s">
        <v>23</v>
      </c>
      <c r="I22" s="47"/>
      <c r="J22" s="17">
        <f>J19+J21</f>
        <v>24214.4175</v>
      </c>
    </row>
  </sheetData>
  <mergeCells count="4">
    <mergeCell ref="H19:I19"/>
    <mergeCell ref="H20:I20"/>
    <mergeCell ref="H21:I21"/>
    <mergeCell ref="H22:I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52E1-4DB1-4D7C-A0AA-FC25A29FFD67}">
  <dimension ref="C5:E15"/>
  <sheetViews>
    <sheetView tabSelected="1" zoomScale="65" zoomScaleNormal="100" workbookViewId="0">
      <selection activeCell="A36" sqref="A36"/>
    </sheetView>
  </sheetViews>
  <sheetFormatPr defaultRowHeight="14.4" x14ac:dyDescent="0.3"/>
  <cols>
    <col min="3" max="3" width="20" customWidth="1"/>
    <col min="4" max="4" width="21.109375" customWidth="1"/>
    <col min="5" max="5" width="20.88671875" customWidth="1"/>
  </cols>
  <sheetData>
    <row r="5" spans="3:5" ht="17.399999999999999" x14ac:dyDescent="0.3">
      <c r="C5" s="44" t="s">
        <v>36</v>
      </c>
      <c r="D5" s="44" t="s">
        <v>35</v>
      </c>
      <c r="E5" s="44" t="s">
        <v>34</v>
      </c>
    </row>
    <row r="6" spans="3:5" ht="15" x14ac:dyDescent="0.3">
      <c r="C6" s="41">
        <v>1</v>
      </c>
      <c r="D6" s="41">
        <v>5</v>
      </c>
      <c r="E6" s="40">
        <f t="shared" ref="E6:E15" si="0">D6/C6</f>
        <v>5</v>
      </c>
    </row>
    <row r="7" spans="3:5" ht="15" x14ac:dyDescent="0.3">
      <c r="C7" s="43">
        <v>2</v>
      </c>
      <c r="D7" s="43">
        <v>10</v>
      </c>
      <c r="E7" s="42">
        <f t="shared" si="0"/>
        <v>5</v>
      </c>
    </row>
    <row r="8" spans="3:5" ht="15" x14ac:dyDescent="0.3">
      <c r="C8" s="41">
        <v>3</v>
      </c>
      <c r="D8" s="41">
        <v>17</v>
      </c>
      <c r="E8" s="40">
        <f t="shared" si="0"/>
        <v>5.666666666666667</v>
      </c>
    </row>
    <row r="9" spans="3:5" ht="15" x14ac:dyDescent="0.3">
      <c r="C9" s="43">
        <v>4</v>
      </c>
      <c r="D9" s="43">
        <v>27</v>
      </c>
      <c r="E9" s="42">
        <f t="shared" si="0"/>
        <v>6.75</v>
      </c>
    </row>
    <row r="10" spans="3:5" ht="15" x14ac:dyDescent="0.3">
      <c r="C10" s="41">
        <v>5</v>
      </c>
      <c r="D10" s="41">
        <v>37</v>
      </c>
      <c r="E10" s="40">
        <f t="shared" si="0"/>
        <v>7.4</v>
      </c>
    </row>
    <row r="11" spans="3:5" ht="15" x14ac:dyDescent="0.3">
      <c r="C11" s="43">
        <v>6</v>
      </c>
      <c r="D11" s="43">
        <v>49</v>
      </c>
      <c r="E11" s="42">
        <f t="shared" si="0"/>
        <v>8.1666666666666661</v>
      </c>
    </row>
    <row r="12" spans="3:5" ht="15" x14ac:dyDescent="0.3">
      <c r="C12" s="41">
        <v>7</v>
      </c>
      <c r="D12" s="41">
        <v>63</v>
      </c>
      <c r="E12" s="40">
        <f t="shared" si="0"/>
        <v>9</v>
      </c>
    </row>
    <row r="13" spans="3:5" ht="15" x14ac:dyDescent="0.3">
      <c r="C13" s="43">
        <v>8</v>
      </c>
      <c r="D13" s="43">
        <v>75</v>
      </c>
      <c r="E13" s="42">
        <f t="shared" si="0"/>
        <v>9.375</v>
      </c>
    </row>
    <row r="14" spans="3:5" ht="15" x14ac:dyDescent="0.3">
      <c r="C14" s="41">
        <v>9</v>
      </c>
      <c r="D14" s="41">
        <v>83</v>
      </c>
      <c r="E14" s="40">
        <f t="shared" si="0"/>
        <v>9.2222222222222214</v>
      </c>
    </row>
    <row r="15" spans="3:5" ht="15" x14ac:dyDescent="0.3">
      <c r="C15" s="39">
        <v>10</v>
      </c>
      <c r="D15" s="39">
        <v>91</v>
      </c>
      <c r="E15" s="38">
        <f t="shared" si="0"/>
        <v>9.1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</vt:lpstr>
      <vt:lpstr>Table1</vt:lpstr>
      <vt:lpstr>Table2</vt:lpstr>
      <vt:lpstr>Table3</vt:lpstr>
      <vt:lpstr>Remise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....</dc:creator>
  <cp:lastModifiedBy>Akram Eddine Souiher</cp:lastModifiedBy>
  <dcterms:created xsi:type="dcterms:W3CDTF">2015-06-05T18:17:20Z</dcterms:created>
  <dcterms:modified xsi:type="dcterms:W3CDTF">2025-12-10T12:23:06Z</dcterms:modified>
</cp:coreProperties>
</file>